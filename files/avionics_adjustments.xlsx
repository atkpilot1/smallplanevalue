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otelcaliforniawallace/smallplanevalue/files/"/>
    </mc:Choice>
  </mc:AlternateContent>
  <xr:revisionPtr revIDLastSave="0" documentId="8_{F23C3BD4-D8FF-3B40-B94C-3C749172672B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Read Me" sheetId="1" r:id="rId1"/>
    <sheet name="Avionics Adjustments" sheetId="2" r:id="rId2"/>
    <sheet name="Worked Example" sheetId="3" r:id="rId3"/>
  </sheets>
  <definedNames>
    <definedName name="_xlnm._FilterDatabase" localSheetId="1" hidden="1">'Avionics Adjustments'!$A$1:$O$45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3" l="1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8" i="3" l="1"/>
  <c r="H7" i="3"/>
  <c r="H6" i="3"/>
  <c r="H5" i="3"/>
  <c r="H9" i="3"/>
  <c r="H10" i="3"/>
  <c r="H12" i="3" l="1"/>
  <c r="H14" i="3" s="1"/>
  <c r="H18" i="3" s="1"/>
  <c r="H20" i="3" s="1"/>
</calcChain>
</file>

<file path=xl/sharedStrings.xml><?xml version="1.0" encoding="utf-8"?>
<sst xmlns="http://schemas.openxmlformats.org/spreadsheetml/2006/main" count="239" uniqueCount="205">
  <si>
    <t>SmallPlaneValue — Avionics Adjustment Engine</t>
  </si>
  <si>
    <t>Turns the equipment checklist into deterministic dollar adjustments. No AI guesses a price here — every figure traces to a coefficient you control.</t>
  </si>
  <si>
    <t>THE FORMULA (per item, per aircraft)</t>
  </si>
  <si>
    <t>value_add  =  Installed Cost  ×  MAX( Floor% ,  Retained%(new) × (1 − Annual Decay%) ^ Years Since Install )</t>
  </si>
  <si>
    <t>• Installed Cost — typical all-in installed price for THIS airframe class (the big driver; varies a lot by aircraft, so treat as a range midpoint).</t>
  </si>
  <si>
    <t>• Retained%(new) — fraction of install cost that shows up in resale when the gear is recent. Avionics typically return ~30–70%, never 100%.</t>
  </si>
  <si>
    <t>• Annual Decay% — how that retained fraction erodes per year as the gear ages and newer boxes appear.</t>
  </si>
  <si>
    <t>• Floor% — the value never decays to zero; a working IFR navigator or autopilot keeps a capability floor. This sets the ceiling on decay.</t>
  </si>
  <si>
    <t>THREE RULES THAT SIT ON TOP OF THE TABLE</t>
  </si>
  <si>
    <t>1) ADS-B OUT GATE.  Since the Jan-2020 mandate, ADS-B Out is table stakes, not a premium. If the panel has NO ADS-B Out source, apply the</t>
  </si>
  <si>
    <t xml:space="preserve">    'ADS-B Out NON-COMPLIANT (penalty)' row — a negative adjustment (~cost to bring compliant + market stigma). Compliance earns $0 bonus; non-compliance is a discount.</t>
  </si>
  <si>
    <t>2) IFR CAPABILITY BUNDLE.  If the panel has BOTH an LPV-capable navigator AND a coupled (digital/approach-capable) autopilot, add a small bundle</t>
  </si>
  <si>
    <t xml:space="preserve">    premium (~$2,500). The integrated 'fly-the-LPV-coupled' capability is worth more to buyers than the boxes summed individually.</t>
  </si>
  <si>
    <t>3) AIRFRAME CAP.  Total positive avionics value is capped at a % of base airframe value (default 40%). A $40k panel does not turn a $60k airframe</t>
  </si>
  <si>
    <t xml:space="preserve">    into a $100k airplane — the market discounts 'over-paneled' cheap airframes. Tune the cap by category if needed.</t>
  </si>
  <si>
    <t>HOW TO WIRE IT INTO THE APP</t>
  </si>
  <si>
    <t>• The 'Checkbox ID' column is your join key. Map each form checkbox to a row; on submit, sum value_add for every checked item, then apply the 3 rules.</t>
  </si>
  <si>
    <t>• Keep these rows as a Supabase table (e.g. avionics_adjustments). Claude/Haiku never invents a number — it only writes the explanation paragraph from these outputs.</t>
  </si>
  <si>
    <t>• Surface the line items to the user ('GTN 750Xi adds ~$13,400; ADS-B compliant, no penalty'). That transparency IS the brand.</t>
  </si>
  <si>
    <t>CALIBRATION — READ THIS</t>
  </si>
  <si>
    <t>These coefficients are defensible STARTING PRIORS, not measured truth. Installed costs are anchored to current Garmin retail + typical install labor (2025–26);</t>
  </si>
  <si>
    <t>retained%/decay/floor are industry rules of thumb. As your 'Report a Sale' and feedback data accumulate, regress actual sale deltas on the equipment vector</t>
  </si>
  <si>
    <t>and replace these blue inputs with fitted values. That closes the loop and makes the moat real. Everything blue is meant to be overwritten.</t>
  </si>
  <si>
    <t>Category</t>
  </si>
  <si>
    <t>Item / Model</t>
  </si>
  <si>
    <t>Installed Cost ($)</t>
  </si>
  <si>
    <t>Retained % (new)</t>
  </si>
  <si>
    <t>Annual Decay %</t>
  </si>
  <si>
    <t>Floor %</t>
  </si>
  <si>
    <t>Yrs Since Install</t>
  </si>
  <si>
    <t>Current Value Add ($)</t>
  </si>
  <si>
    <t>LPV/WAAS</t>
  </si>
  <si>
    <t>ADS-B Out</t>
  </si>
  <si>
    <t>ADS-B In</t>
  </si>
  <si>
    <t>Coupled AP</t>
  </si>
  <si>
    <t>Glass PFD</t>
  </si>
  <si>
    <t>Checkbox ID</t>
  </si>
  <si>
    <t>Notes / Source</t>
  </si>
  <si>
    <t>Navigator — GPS/Nav/Comm</t>
  </si>
  <si>
    <t>Garmin GTN 750Xi</t>
  </si>
  <si>
    <t>nav_gtn750xi</t>
  </si>
  <si>
    <t>Unit $17,995 + install. Panel centerpiece, holds value. Garmin/Flying 2025.</t>
  </si>
  <si>
    <t>Garmin GTN 650Xi</t>
  </si>
  <si>
    <t>nav_gtn650xi</t>
  </si>
  <si>
    <t>Unit $12,495 + install. Garmin/Flying 2025.</t>
  </si>
  <si>
    <t>Garmin GTN 750 (legacy)</t>
  </si>
  <si>
    <t>nav_gtn750</t>
  </si>
  <si>
    <t>Pre-Xi; still desirable WAAS/LPV.</t>
  </si>
  <si>
    <t>Garmin GTN 650 (legacy)</t>
  </si>
  <si>
    <t>nav_gtn650</t>
  </si>
  <si>
    <t>Pre-Xi.</t>
  </si>
  <si>
    <t>Garmin GNS 530W</t>
  </si>
  <si>
    <t>nav_gns530w</t>
  </si>
  <si>
    <t>Legacy WAAS; LPV-capable but aging.</t>
  </si>
  <si>
    <t>Garmin GNS 430W</t>
  </si>
  <si>
    <t>nav_gns430w</t>
  </si>
  <si>
    <t>Legacy WAAS.</t>
  </si>
  <si>
    <t>Navigator — GPS/Comm</t>
  </si>
  <si>
    <t>Garmin GNC 355</t>
  </si>
  <si>
    <t>nav_gnc355</t>
  </si>
  <si>
    <t>GPS/Comm, LPV, no VOR/ILS. Unit ~$7,895.</t>
  </si>
  <si>
    <t>Navigator — GPS + ADS-B xpdr</t>
  </si>
  <si>
    <t>Garmin GNX 375</t>
  </si>
  <si>
    <t>nav_gnx375</t>
  </si>
  <si>
    <t>GPS nav + 1090ES ADS-B In/Out. Unit ~$8,625.</t>
  </si>
  <si>
    <t>Navigator — GPS only</t>
  </si>
  <si>
    <t>Garmin GPS 175</t>
  </si>
  <si>
    <t>nav_gps175</t>
  </si>
  <si>
    <t>GPS-only, LPV; pairs w/ existing nav/comm.</t>
  </si>
  <si>
    <t>Avidyne IFD540</t>
  </si>
  <si>
    <t>nav_ifd540</t>
  </si>
  <si>
    <t>GTN 750 slide-in competitor.</t>
  </si>
  <si>
    <t>Avidyne IFD440</t>
  </si>
  <si>
    <t>nav_ifd440</t>
  </si>
  <si>
    <t>GTN 650 competitor.</t>
  </si>
  <si>
    <t>Glass — PFD/MFD</t>
  </si>
  <si>
    <t>Garmin G500 TXi (10.6")</t>
  </si>
  <si>
    <t>pfd_g500txi</t>
  </si>
  <si>
    <t>Large-format glass.</t>
  </si>
  <si>
    <t>Garmin G600 TXi</t>
  </si>
  <si>
    <t>pfd_g600txi</t>
  </si>
  <si>
    <t>High-performance class glass.</t>
  </si>
  <si>
    <t>Garmin G3X Touch (certified)</t>
  </si>
  <si>
    <t>pfd_g3x</t>
  </si>
  <si>
    <t>Dual-screen certified glass.</t>
  </si>
  <si>
    <t>Glass — PFD/standby</t>
  </si>
  <si>
    <t>Garmin GI 275 (each)</t>
  </si>
  <si>
    <t>pfd_gi275</t>
  </si>
  <si>
    <t>Drop-in round glass; AP attitude ref. Use Qty.</t>
  </si>
  <si>
    <t>Garmin G5 (each)</t>
  </si>
  <si>
    <t>pfd_g5</t>
  </si>
  <si>
    <t>Budget glass; GFC 500 reference. Use Qty.</t>
  </si>
  <si>
    <t>Glass — PFD</t>
  </si>
  <si>
    <t>Aspen Evolution E5</t>
  </si>
  <si>
    <t>pfd_aspen_e5</t>
  </si>
  <si>
    <t>Entry Aspen PFD.</t>
  </si>
  <si>
    <t>Aspen Evolution Pro Max</t>
  </si>
  <si>
    <t>pfd_aspen_promax</t>
  </si>
  <si>
    <t>Higher Aspen tier (1000/2000/3000).</t>
  </si>
  <si>
    <t>Dynon SkyView HDX (STC)</t>
  </si>
  <si>
    <t>pfd_dynon_hdx</t>
  </si>
  <si>
    <t>Certified for approved models; smaller buyer pool.</t>
  </si>
  <si>
    <t>Autopilot — digital</t>
  </si>
  <si>
    <t>Garmin GFC 500 (2-axis)</t>
  </si>
  <si>
    <t>ap_gfc500</t>
  </si>
  <si>
    <t>Starts $6,995; real installs $19–31k w/ servos/trim. Garmin/Flying 2025.</t>
  </si>
  <si>
    <t>Garmin GFC 600</t>
  </si>
  <si>
    <t>ap_gfc600</t>
  </si>
  <si>
    <t>High-perf/turbine; starts $19,995.</t>
  </si>
  <si>
    <t>Genesys S-TEC 3100</t>
  </si>
  <si>
    <t>ap_stec3100</t>
  </si>
  <si>
    <t>Modern digital, attitude-based.</t>
  </si>
  <si>
    <t>Avidyne DFC100</t>
  </si>
  <si>
    <t>ap_dfc100</t>
  </si>
  <si>
    <t>Attitude-based; pairs w/ Avidyne EFIS.</t>
  </si>
  <si>
    <t>Autopilot — rate-based</t>
  </si>
  <si>
    <t>Avidyne DFC90</t>
  </si>
  <si>
    <t>ap_dfc90</t>
  </si>
  <si>
    <t>Rate-based upgrade for legacy S-TEC platform.</t>
  </si>
  <si>
    <t>Genesys S-TEC 55X</t>
  </si>
  <si>
    <t>ap_stec55x</t>
  </si>
  <si>
    <t>Capable legacy; altitude hold + GPSS.</t>
  </si>
  <si>
    <t>Genesys S-TEC 65</t>
  </si>
  <si>
    <t>ap_stec65</t>
  </si>
  <si>
    <t>Legacy.</t>
  </si>
  <si>
    <t>Autopilot — legacy analog</t>
  </si>
  <si>
    <t>Bendix/King KFC 150</t>
  </si>
  <si>
    <t>ap_kfc150</t>
  </si>
  <si>
    <t>Functional but dated; value = 'has a working AP'.</t>
  </si>
  <si>
    <t>Bendix/King KAP 140</t>
  </si>
  <si>
    <t>ap_kap140</t>
  </si>
  <si>
    <t>Basic 2-axis.</t>
  </si>
  <si>
    <t>Century / other analog</t>
  </si>
  <si>
    <t>ap_century</t>
  </si>
  <si>
    <t>Old; minimal premium.</t>
  </si>
  <si>
    <t>Transponder / ADS-B</t>
  </si>
  <si>
    <t>Garmin GTX 345 (1090ES In/Out)</t>
  </si>
  <si>
    <t>xpdr_gtx345</t>
  </si>
  <si>
    <t>ADS-B In+Out; traffic/weather to tablet.</t>
  </si>
  <si>
    <t>Garmin GTX 335 (Out only)</t>
  </si>
  <si>
    <t>xpdr_gtx335</t>
  </si>
  <si>
    <t>Out only; meets mandate.</t>
  </si>
  <si>
    <t>ADS-B — UAT</t>
  </si>
  <si>
    <t>Garmin GDL 82 (978 Out)</t>
  </si>
  <si>
    <t>adsb_gdl82</t>
  </si>
  <si>
    <t>UAT Out beneath existing transponder.</t>
  </si>
  <si>
    <t>Garmin GDL 88 (978 In/Out)</t>
  </si>
  <si>
    <t>adsb_gdl88</t>
  </si>
  <si>
    <t>Older UAT In/Out.</t>
  </si>
  <si>
    <t>ADS-B COMPLIANCE GATE</t>
  </si>
  <si>
    <t>ADS-B Out NON-COMPLIANT (penalty)</t>
  </si>
  <si>
    <t>gate_adsb_noncompliant</t>
  </si>
  <si>
    <t>Apply ONLY if no ADS-B Out present. Negative: cost to comply + stigma.</t>
  </si>
  <si>
    <t>Engine Monitor — primary</t>
  </si>
  <si>
    <t>JPI EDM 900</t>
  </si>
  <si>
    <t>eng_edm900</t>
  </si>
  <si>
    <t>Primary replacement; STC.</t>
  </si>
  <si>
    <t>EI CGR-30P</t>
  </si>
  <si>
    <t>eng_cgr30p</t>
  </si>
  <si>
    <t>Primary replacement.</t>
  </si>
  <si>
    <t>EI MVP-50</t>
  </si>
  <si>
    <t>eng_mvp50</t>
  </si>
  <si>
    <t>Primary.</t>
  </si>
  <si>
    <t>Engine Monitor — supplemental</t>
  </si>
  <si>
    <t>JPI EDM 830</t>
  </si>
  <si>
    <t>eng_edm830</t>
  </si>
  <si>
    <t>Supplemental (not a primary replacement).</t>
  </si>
  <si>
    <t>Audio Panel</t>
  </si>
  <si>
    <t>Garmin GMA 345 (Bluetooth)</t>
  </si>
  <si>
    <t>audio_gma345</t>
  </si>
  <si>
    <t>BT, USB, 3D audio.</t>
  </si>
  <si>
    <t>Garmin GMA 350 (Bluetooth)</t>
  </si>
  <si>
    <t>audio_gma350</t>
  </si>
  <si>
    <t>Telligence voice.</t>
  </si>
  <si>
    <t>PS Engineering PMA450B</t>
  </si>
  <si>
    <t>audio_pma450b</t>
  </si>
  <si>
    <t>Popular BT panel.</t>
  </si>
  <si>
    <t>PS Engineering PMA8000</t>
  </si>
  <si>
    <t>audio_pma8000</t>
  </si>
  <si>
    <t>Older.</t>
  </si>
  <si>
    <t>Audio Panel — legacy</t>
  </si>
  <si>
    <t>Garmin GMA 340</t>
  </si>
  <si>
    <t>audio_gma340</t>
  </si>
  <si>
    <t>Dated; minimal premium.</t>
  </si>
  <si>
    <t>Traffic</t>
  </si>
  <si>
    <t>Active traffic (GTS 800 / Skywatch)</t>
  </si>
  <si>
    <t>traffic_active</t>
  </si>
  <si>
    <t>Active TAS; modest premium over ADS-B In.</t>
  </si>
  <si>
    <t>WORKED EXAMPLE — Beechcraft A36 Bonanza (illustrative panel)</t>
  </si>
  <si>
    <t>Edit the blue cells. Item names must match the 'Avionics Adjustments' sheet exactly. Rates auto-pull via VLOOKUP (green).</t>
  </si>
  <si>
    <t>Selected Item</t>
  </si>
  <si>
    <t>Qty</t>
  </si>
  <si>
    <t>Yrs</t>
  </si>
  <si>
    <t>Installed Cost (ea)</t>
  </si>
  <si>
    <t>Decay %</t>
  </si>
  <si>
    <t>Value Add ($)</t>
  </si>
  <si>
    <t>Sum of avionics adds</t>
  </si>
  <si>
    <t>IFR capability bundle bonus (LPV nav + coupled AP present) — input</t>
  </si>
  <si>
    <t>Raw avionics value</t>
  </si>
  <si>
    <t>Base airframe value (year/engine/hours-adjusted) — input</t>
  </si>
  <si>
    <t>Airframe cap on avionics (% of base) — input</t>
  </si>
  <si>
    <t>Cap amount</t>
  </si>
  <si>
    <t>Applied avionics value (min of raw vs cap)</t>
  </si>
  <si>
    <t>ESTIMATED VALUE  =  base airframe + applied avionics</t>
  </si>
  <si>
    <t>Note: illustrative only. Base airframe figure is a placeholder — your year-based pricing engine supplies it. The avionics layer is what this workbook computes.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</si>
</sst>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7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name val="Consolas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1"/>
      <color rgb="FF808080"/>
      <name val="Arial"/>
      <charset val="1"/>
    </font>
    <font>
      <sz val="9"/>
      <name val="Consolas"/>
      <charset val="1"/>
    </font>
    <font>
      <sz val="9"/>
      <color rgb="FF595959"/>
      <name val="Arial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sz val="11"/>
      <color rgb="FF008000"/>
      <name val="Arial"/>
      <charset val="1"/>
    </font>
    <font>
      <b/>
      <sz val="12"/>
      <name val="Arial"/>
      <charset val="1"/>
    </font>
    <font>
      <b/>
      <sz val="12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2" fillId="0" borderId="1" xfId="0" applyFont="1" applyBorder="1"/>
    <xf numFmtId="164" fontId="7" fillId="0" borderId="1" xfId="0" applyNumberFormat="1" applyFont="1" applyBorder="1"/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8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7" fillId="0" borderId="1" xfId="0" applyFont="1" applyBorder="1"/>
    <xf numFmtId="164" fontId="14" fillId="0" borderId="1" xfId="0" applyNumberFormat="1" applyFont="1" applyBorder="1"/>
    <xf numFmtId="9" fontId="14" fillId="0" borderId="1" xfId="0" applyNumberFormat="1" applyFont="1" applyBorder="1" applyAlignment="1">
      <alignment horizontal="center"/>
    </xf>
    <xf numFmtId="0" fontId="2" fillId="0" borderId="0" xfId="0" applyFont="1"/>
    <xf numFmtId="164" fontId="8" fillId="0" borderId="0" xfId="0" applyNumberFormat="1" applyFont="1"/>
    <xf numFmtId="0" fontId="2" fillId="3" borderId="0" xfId="0" applyFont="1" applyFill="1"/>
    <xf numFmtId="164" fontId="7" fillId="3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9" fontId="7" fillId="3" borderId="0" xfId="0" applyNumberFormat="1" applyFont="1" applyFill="1"/>
    <xf numFmtId="0" fontId="15" fillId="5" borderId="0" xfId="0" applyFont="1" applyFill="1"/>
    <xf numFmtId="164" fontId="1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8"/>
  <sheetViews>
    <sheetView showGridLines="0" tabSelected="1" zoomScaleNormal="100" workbookViewId="0">
      <selection activeCell="B1" sqref="B1:B34"/>
    </sheetView>
  </sheetViews>
  <sheetFormatPr baseColWidth="10" defaultColWidth="8.6640625" defaultRowHeight="15" x14ac:dyDescent="0.2"/>
  <cols>
    <col min="1" max="1" width="3" customWidth="1"/>
    <col min="2" max="2" width="104" customWidth="1"/>
  </cols>
  <sheetData>
    <row r="2" spans="2:2" ht="15" customHeight="1" x14ac:dyDescent="0.2">
      <c r="B2" s="1" t="s">
        <v>0</v>
      </c>
    </row>
    <row r="3" spans="2:2" ht="15" customHeight="1" x14ac:dyDescent="0.2">
      <c r="B3" s="2" t="s">
        <v>1</v>
      </c>
    </row>
    <row r="4" spans="2:2" ht="15" customHeight="1" x14ac:dyDescent="0.2"/>
    <row r="5" spans="2:2" ht="15" customHeight="1" x14ac:dyDescent="0.2">
      <c r="B5" s="3" t="s">
        <v>2</v>
      </c>
    </row>
    <row r="6" spans="2:2" ht="15" customHeight="1" x14ac:dyDescent="0.2">
      <c r="B6" s="4" t="s">
        <v>3</v>
      </c>
    </row>
    <row r="7" spans="2:2" ht="15" customHeight="1" x14ac:dyDescent="0.2">
      <c r="B7" s="2" t="s">
        <v>4</v>
      </c>
    </row>
    <row r="8" spans="2:2" ht="15" customHeight="1" x14ac:dyDescent="0.2">
      <c r="B8" s="2" t="s">
        <v>5</v>
      </c>
    </row>
    <row r="9" spans="2:2" ht="15" customHeight="1" x14ac:dyDescent="0.2">
      <c r="B9" s="2" t="s">
        <v>6</v>
      </c>
    </row>
    <row r="10" spans="2:2" ht="15" customHeight="1" x14ac:dyDescent="0.2">
      <c r="B10" s="2" t="s">
        <v>7</v>
      </c>
    </row>
    <row r="11" spans="2:2" ht="15" customHeight="1" x14ac:dyDescent="0.2"/>
    <row r="12" spans="2:2" ht="15" customHeight="1" x14ac:dyDescent="0.2">
      <c r="B12" s="3" t="s">
        <v>8</v>
      </c>
    </row>
    <row r="13" spans="2:2" ht="15" customHeight="1" x14ac:dyDescent="0.2">
      <c r="B13" s="2" t="s">
        <v>9</v>
      </c>
    </row>
    <row r="14" spans="2:2" ht="15" customHeight="1" x14ac:dyDescent="0.2">
      <c r="B14" s="2" t="s">
        <v>10</v>
      </c>
    </row>
    <row r="15" spans="2:2" ht="15" customHeight="1" x14ac:dyDescent="0.2">
      <c r="B15" s="2" t="s">
        <v>11</v>
      </c>
    </row>
    <row r="16" spans="2:2" ht="15" customHeight="1" x14ac:dyDescent="0.2">
      <c r="B16" s="2" t="s">
        <v>12</v>
      </c>
    </row>
    <row r="17" spans="2:2" ht="15" customHeight="1" x14ac:dyDescent="0.2">
      <c r="B17" s="2" t="s">
        <v>13</v>
      </c>
    </row>
    <row r="18" spans="2:2" ht="15" customHeight="1" x14ac:dyDescent="0.2">
      <c r="B18" s="2" t="s">
        <v>14</v>
      </c>
    </row>
    <row r="19" spans="2:2" ht="15" customHeight="1" x14ac:dyDescent="0.2"/>
    <row r="20" spans="2:2" ht="15" customHeight="1" x14ac:dyDescent="0.2">
      <c r="B20" s="3" t="s">
        <v>15</v>
      </c>
    </row>
    <row r="21" spans="2:2" ht="15" customHeight="1" x14ac:dyDescent="0.2">
      <c r="B21" s="2" t="s">
        <v>16</v>
      </c>
    </row>
    <row r="22" spans="2:2" ht="15" customHeight="1" x14ac:dyDescent="0.2">
      <c r="B22" s="2" t="s">
        <v>17</v>
      </c>
    </row>
    <row r="23" spans="2:2" ht="15" customHeight="1" x14ac:dyDescent="0.2">
      <c r="B23" s="2" t="s">
        <v>18</v>
      </c>
    </row>
    <row r="24" spans="2:2" ht="15" customHeight="1" x14ac:dyDescent="0.2"/>
    <row r="25" spans="2:2" ht="15" customHeight="1" x14ac:dyDescent="0.2">
      <c r="B25" s="5" t="s">
        <v>19</v>
      </c>
    </row>
    <row r="26" spans="2:2" ht="15" customHeight="1" x14ac:dyDescent="0.2">
      <c r="B26" s="2" t="s">
        <v>20</v>
      </c>
    </row>
    <row r="27" spans="2:2" ht="15" customHeight="1" x14ac:dyDescent="0.2">
      <c r="B27" s="2" t="s">
        <v>21</v>
      </c>
    </row>
    <row r="28" spans="2:2" ht="15" customHeight="1" x14ac:dyDescent="0.2">
      <c r="B28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6" customWidth="1"/>
    <col min="2" max="2" width="34" customWidth="1"/>
    <col min="3" max="3" width="16" customWidth="1"/>
    <col min="4" max="4" width="13" customWidth="1"/>
    <col min="5" max="5" width="12" customWidth="1"/>
    <col min="6" max="6" width="9" customWidth="1"/>
    <col min="7" max="7" width="11" customWidth="1"/>
    <col min="8" max="8" width="17" customWidth="1"/>
    <col min="9" max="10" width="9" customWidth="1"/>
    <col min="11" max="11" width="8" customWidth="1"/>
    <col min="12" max="13" width="9" customWidth="1"/>
    <col min="14" max="14" width="24" customWidth="1"/>
    <col min="15" max="15" width="52" customWidth="1"/>
  </cols>
  <sheetData>
    <row r="1" spans="1:15" ht="30" customHeight="1" x14ac:dyDescent="0.2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</row>
    <row r="2" spans="1:15" ht="26" x14ac:dyDescent="0.2">
      <c r="A2" s="7" t="s">
        <v>38</v>
      </c>
      <c r="B2" s="8" t="s">
        <v>39</v>
      </c>
      <c r="C2" s="9">
        <v>26000</v>
      </c>
      <c r="D2" s="10">
        <v>0.6</v>
      </c>
      <c r="E2" s="10">
        <v>0.05</v>
      </c>
      <c r="F2" s="10">
        <v>0.35</v>
      </c>
      <c r="G2" s="11">
        <v>3</v>
      </c>
      <c r="H2" s="12">
        <f t="shared" ref="H2:H45" si="0">C2*MAX(F2,D2*(1-E2)^G2)</f>
        <v>13375.049999999997</v>
      </c>
      <c r="I2" s="13">
        <v>1</v>
      </c>
      <c r="J2" s="13">
        <v>0</v>
      </c>
      <c r="K2" s="13">
        <v>0</v>
      </c>
      <c r="L2" s="13">
        <v>0</v>
      </c>
      <c r="M2" s="13">
        <v>0</v>
      </c>
      <c r="N2" s="14" t="s">
        <v>40</v>
      </c>
      <c r="O2" s="15" t="s">
        <v>41</v>
      </c>
    </row>
    <row r="3" spans="1:15" x14ac:dyDescent="0.2">
      <c r="A3" s="7" t="s">
        <v>38</v>
      </c>
      <c r="B3" s="8" t="s">
        <v>42</v>
      </c>
      <c r="C3" s="9">
        <v>19000</v>
      </c>
      <c r="D3" s="10">
        <v>0.6</v>
      </c>
      <c r="E3" s="10">
        <v>0.05</v>
      </c>
      <c r="F3" s="10">
        <v>0.35</v>
      </c>
      <c r="G3" s="11">
        <v>3</v>
      </c>
      <c r="H3" s="12">
        <f t="shared" si="0"/>
        <v>9774.0749999999989</v>
      </c>
      <c r="I3" s="13">
        <v>1</v>
      </c>
      <c r="J3" s="13">
        <v>0</v>
      </c>
      <c r="K3" s="13">
        <v>0</v>
      </c>
      <c r="L3" s="13">
        <v>0</v>
      </c>
      <c r="M3" s="13">
        <v>0</v>
      </c>
      <c r="N3" s="14" t="s">
        <v>43</v>
      </c>
      <c r="O3" s="15" t="s">
        <v>44</v>
      </c>
    </row>
    <row r="4" spans="1:15" x14ac:dyDescent="0.2">
      <c r="A4" s="7" t="s">
        <v>38</v>
      </c>
      <c r="B4" s="8" t="s">
        <v>45</v>
      </c>
      <c r="C4" s="9">
        <v>18000</v>
      </c>
      <c r="D4" s="10">
        <v>0.45</v>
      </c>
      <c r="E4" s="10">
        <v>0.06</v>
      </c>
      <c r="F4" s="10">
        <v>0.25</v>
      </c>
      <c r="G4" s="11">
        <v>8</v>
      </c>
      <c r="H4" s="12">
        <f t="shared" si="0"/>
        <v>4937.5084021827597</v>
      </c>
      <c r="I4" s="13">
        <v>1</v>
      </c>
      <c r="J4" s="13">
        <v>0</v>
      </c>
      <c r="K4" s="13">
        <v>0</v>
      </c>
      <c r="L4" s="13">
        <v>0</v>
      </c>
      <c r="M4" s="13">
        <v>0</v>
      </c>
      <c r="N4" s="14" t="s">
        <v>46</v>
      </c>
      <c r="O4" s="15" t="s">
        <v>47</v>
      </c>
    </row>
    <row r="5" spans="1:15" x14ac:dyDescent="0.2">
      <c r="A5" s="7" t="s">
        <v>38</v>
      </c>
      <c r="B5" s="8" t="s">
        <v>48</v>
      </c>
      <c r="C5" s="9">
        <v>13000</v>
      </c>
      <c r="D5" s="10">
        <v>0.45</v>
      </c>
      <c r="E5" s="10">
        <v>0.06</v>
      </c>
      <c r="F5" s="10">
        <v>0.25</v>
      </c>
      <c r="G5" s="11">
        <v>8</v>
      </c>
      <c r="H5" s="12">
        <f t="shared" si="0"/>
        <v>3565.9782904653266</v>
      </c>
      <c r="I5" s="13">
        <v>1</v>
      </c>
      <c r="J5" s="13">
        <v>0</v>
      </c>
      <c r="K5" s="13">
        <v>0</v>
      </c>
      <c r="L5" s="13">
        <v>0</v>
      </c>
      <c r="M5" s="13">
        <v>0</v>
      </c>
      <c r="N5" s="14" t="s">
        <v>49</v>
      </c>
      <c r="O5" s="15" t="s">
        <v>50</v>
      </c>
    </row>
    <row r="6" spans="1:15" x14ac:dyDescent="0.2">
      <c r="A6" s="7" t="s">
        <v>38</v>
      </c>
      <c r="B6" s="8" t="s">
        <v>51</v>
      </c>
      <c r="C6" s="9">
        <v>11000</v>
      </c>
      <c r="D6" s="10">
        <v>0.4</v>
      </c>
      <c r="E6" s="10">
        <v>0.06</v>
      </c>
      <c r="F6" s="10">
        <v>0.2</v>
      </c>
      <c r="G6" s="11">
        <v>15</v>
      </c>
      <c r="H6" s="12">
        <f t="shared" si="0"/>
        <v>2200</v>
      </c>
      <c r="I6" s="13">
        <v>1</v>
      </c>
      <c r="J6" s="13">
        <v>0</v>
      </c>
      <c r="K6" s="13">
        <v>0</v>
      </c>
      <c r="L6" s="13">
        <v>0</v>
      </c>
      <c r="M6" s="13">
        <v>0</v>
      </c>
      <c r="N6" s="14" t="s">
        <v>52</v>
      </c>
      <c r="O6" s="15" t="s">
        <v>53</v>
      </c>
    </row>
    <row r="7" spans="1:15" x14ac:dyDescent="0.2">
      <c r="A7" s="7" t="s">
        <v>38</v>
      </c>
      <c r="B7" s="8" t="s">
        <v>54</v>
      </c>
      <c r="C7" s="9">
        <v>8000</v>
      </c>
      <c r="D7" s="10">
        <v>0.4</v>
      </c>
      <c r="E7" s="10">
        <v>0.06</v>
      </c>
      <c r="F7" s="10">
        <v>0.2</v>
      </c>
      <c r="G7" s="11">
        <v>15</v>
      </c>
      <c r="H7" s="12">
        <f t="shared" si="0"/>
        <v>1600</v>
      </c>
      <c r="I7" s="13">
        <v>1</v>
      </c>
      <c r="J7" s="13">
        <v>0</v>
      </c>
      <c r="K7" s="13">
        <v>0</v>
      </c>
      <c r="L7" s="13">
        <v>0</v>
      </c>
      <c r="M7" s="13">
        <v>0</v>
      </c>
      <c r="N7" s="14" t="s">
        <v>55</v>
      </c>
      <c r="O7" s="15" t="s">
        <v>56</v>
      </c>
    </row>
    <row r="8" spans="1:15" x14ac:dyDescent="0.2">
      <c r="A8" s="7" t="s">
        <v>57</v>
      </c>
      <c r="B8" s="8" t="s">
        <v>58</v>
      </c>
      <c r="C8" s="9">
        <v>12000</v>
      </c>
      <c r="D8" s="10">
        <v>0.5</v>
      </c>
      <c r="E8" s="10">
        <v>0.06</v>
      </c>
      <c r="F8" s="10">
        <v>0.3</v>
      </c>
      <c r="G8" s="11">
        <v>3</v>
      </c>
      <c r="H8" s="12">
        <f t="shared" si="0"/>
        <v>4983.503999999999</v>
      </c>
      <c r="I8" s="13">
        <v>1</v>
      </c>
      <c r="J8" s="13">
        <v>0</v>
      </c>
      <c r="K8" s="13">
        <v>0</v>
      </c>
      <c r="L8" s="13">
        <v>0</v>
      </c>
      <c r="M8" s="13">
        <v>0</v>
      </c>
      <c r="N8" s="14" t="s">
        <v>59</v>
      </c>
      <c r="O8" s="15" t="s">
        <v>60</v>
      </c>
    </row>
    <row r="9" spans="1:15" x14ac:dyDescent="0.2">
      <c r="A9" s="7" t="s">
        <v>61</v>
      </c>
      <c r="B9" s="8" t="s">
        <v>62</v>
      </c>
      <c r="C9" s="9">
        <v>13000</v>
      </c>
      <c r="D9" s="10">
        <v>0.5</v>
      </c>
      <c r="E9" s="10">
        <v>0.06</v>
      </c>
      <c r="F9" s="10">
        <v>0.3</v>
      </c>
      <c r="G9" s="11">
        <v>3</v>
      </c>
      <c r="H9" s="12">
        <f t="shared" si="0"/>
        <v>5398.7959999999994</v>
      </c>
      <c r="I9" s="13">
        <v>1</v>
      </c>
      <c r="J9" s="13">
        <v>1</v>
      </c>
      <c r="K9" s="13">
        <v>1</v>
      </c>
      <c r="L9" s="13">
        <v>0</v>
      </c>
      <c r="M9" s="13">
        <v>0</v>
      </c>
      <c r="N9" s="14" t="s">
        <v>63</v>
      </c>
      <c r="O9" s="15" t="s">
        <v>64</v>
      </c>
    </row>
    <row r="10" spans="1:15" x14ac:dyDescent="0.2">
      <c r="A10" s="7" t="s">
        <v>65</v>
      </c>
      <c r="B10" s="8" t="s">
        <v>66</v>
      </c>
      <c r="C10" s="9">
        <v>9000</v>
      </c>
      <c r="D10" s="10">
        <v>0.48</v>
      </c>
      <c r="E10" s="10">
        <v>0.06</v>
      </c>
      <c r="F10" s="10">
        <v>0.28000000000000003</v>
      </c>
      <c r="G10" s="11">
        <v>3</v>
      </c>
      <c r="H10" s="12">
        <f t="shared" si="0"/>
        <v>3588.1228799999994</v>
      </c>
      <c r="I10" s="13">
        <v>1</v>
      </c>
      <c r="J10" s="13">
        <v>0</v>
      </c>
      <c r="K10" s="13">
        <v>0</v>
      </c>
      <c r="L10" s="13">
        <v>0</v>
      </c>
      <c r="M10" s="13">
        <v>0</v>
      </c>
      <c r="N10" s="14" t="s">
        <v>67</v>
      </c>
      <c r="O10" s="15" t="s">
        <v>68</v>
      </c>
    </row>
    <row r="11" spans="1:15" x14ac:dyDescent="0.2">
      <c r="A11" s="7" t="s">
        <v>38</v>
      </c>
      <c r="B11" s="8" t="s">
        <v>69</v>
      </c>
      <c r="C11" s="9">
        <v>16000</v>
      </c>
      <c r="D11" s="10">
        <v>0.45</v>
      </c>
      <c r="E11" s="10">
        <v>0.06</v>
      </c>
      <c r="F11" s="10">
        <v>0.25</v>
      </c>
      <c r="G11" s="11">
        <v>6</v>
      </c>
      <c r="H11" s="12">
        <f t="shared" si="0"/>
        <v>4967.0624236031999</v>
      </c>
      <c r="I11" s="13">
        <v>1</v>
      </c>
      <c r="J11" s="13">
        <v>0</v>
      </c>
      <c r="K11" s="13">
        <v>0</v>
      </c>
      <c r="L11" s="13">
        <v>0</v>
      </c>
      <c r="M11" s="13">
        <v>0</v>
      </c>
      <c r="N11" s="14" t="s">
        <v>70</v>
      </c>
      <c r="O11" s="15" t="s">
        <v>71</v>
      </c>
    </row>
    <row r="12" spans="1:15" x14ac:dyDescent="0.2">
      <c r="A12" s="7" t="s">
        <v>38</v>
      </c>
      <c r="B12" s="8" t="s">
        <v>72</v>
      </c>
      <c r="C12" s="9">
        <v>12000</v>
      </c>
      <c r="D12" s="10">
        <v>0.45</v>
      </c>
      <c r="E12" s="10">
        <v>0.06</v>
      </c>
      <c r="F12" s="10">
        <v>0.25</v>
      </c>
      <c r="G12" s="11">
        <v>6</v>
      </c>
      <c r="H12" s="12">
        <f t="shared" si="0"/>
        <v>3725.2968177023999</v>
      </c>
      <c r="I12" s="13">
        <v>1</v>
      </c>
      <c r="J12" s="13">
        <v>0</v>
      </c>
      <c r="K12" s="13">
        <v>0</v>
      </c>
      <c r="L12" s="13">
        <v>0</v>
      </c>
      <c r="M12" s="13">
        <v>0</v>
      </c>
      <c r="N12" s="14" t="s">
        <v>73</v>
      </c>
      <c r="O12" s="15" t="s">
        <v>74</v>
      </c>
    </row>
    <row r="13" spans="1:15" x14ac:dyDescent="0.2">
      <c r="A13" s="7" t="s">
        <v>75</v>
      </c>
      <c r="B13" s="8" t="s">
        <v>76</v>
      </c>
      <c r="C13" s="9">
        <v>19000</v>
      </c>
      <c r="D13" s="10">
        <v>0.55000000000000004</v>
      </c>
      <c r="E13" s="10">
        <v>0.06</v>
      </c>
      <c r="F13" s="10">
        <v>0.3</v>
      </c>
      <c r="G13" s="11">
        <v>4</v>
      </c>
      <c r="H13" s="12">
        <f t="shared" si="0"/>
        <v>8158.8266320000002</v>
      </c>
      <c r="I13" s="13">
        <v>0</v>
      </c>
      <c r="J13" s="13">
        <v>0</v>
      </c>
      <c r="K13" s="13">
        <v>0</v>
      </c>
      <c r="L13" s="13">
        <v>0</v>
      </c>
      <c r="M13" s="13">
        <v>1</v>
      </c>
      <c r="N13" s="14" t="s">
        <v>77</v>
      </c>
      <c r="O13" s="15" t="s">
        <v>78</v>
      </c>
    </row>
    <row r="14" spans="1:15" x14ac:dyDescent="0.2">
      <c r="A14" s="7" t="s">
        <v>75</v>
      </c>
      <c r="B14" s="8" t="s">
        <v>79</v>
      </c>
      <c r="C14" s="9">
        <v>26000</v>
      </c>
      <c r="D14" s="10">
        <v>0.55000000000000004</v>
      </c>
      <c r="E14" s="10">
        <v>0.06</v>
      </c>
      <c r="F14" s="10">
        <v>0.3</v>
      </c>
      <c r="G14" s="11">
        <v>4</v>
      </c>
      <c r="H14" s="12">
        <f t="shared" si="0"/>
        <v>11164.710128000001</v>
      </c>
      <c r="I14" s="13">
        <v>0</v>
      </c>
      <c r="J14" s="13">
        <v>0</v>
      </c>
      <c r="K14" s="13">
        <v>0</v>
      </c>
      <c r="L14" s="13">
        <v>0</v>
      </c>
      <c r="M14" s="13">
        <v>1</v>
      </c>
      <c r="N14" s="14" t="s">
        <v>80</v>
      </c>
      <c r="O14" s="15" t="s">
        <v>81</v>
      </c>
    </row>
    <row r="15" spans="1:15" x14ac:dyDescent="0.2">
      <c r="A15" s="7" t="s">
        <v>75</v>
      </c>
      <c r="B15" s="8" t="s">
        <v>82</v>
      </c>
      <c r="C15" s="9">
        <v>22000</v>
      </c>
      <c r="D15" s="10">
        <v>0.55000000000000004</v>
      </c>
      <c r="E15" s="10">
        <v>0.06</v>
      </c>
      <c r="F15" s="10">
        <v>0.3</v>
      </c>
      <c r="G15" s="11">
        <v>3</v>
      </c>
      <c r="H15" s="12">
        <f t="shared" si="0"/>
        <v>10050.0664</v>
      </c>
      <c r="I15" s="13">
        <v>0</v>
      </c>
      <c r="J15" s="13">
        <v>0</v>
      </c>
      <c r="K15" s="13">
        <v>0</v>
      </c>
      <c r="L15" s="13">
        <v>0</v>
      </c>
      <c r="M15" s="13">
        <v>1</v>
      </c>
      <c r="N15" s="14" t="s">
        <v>83</v>
      </c>
      <c r="O15" s="15" t="s">
        <v>84</v>
      </c>
    </row>
    <row r="16" spans="1:15" x14ac:dyDescent="0.2">
      <c r="A16" s="7" t="s">
        <v>85</v>
      </c>
      <c r="B16" s="8" t="s">
        <v>86</v>
      </c>
      <c r="C16" s="9">
        <v>6000</v>
      </c>
      <c r="D16" s="10">
        <v>0.5</v>
      </c>
      <c r="E16" s="10">
        <v>0.06</v>
      </c>
      <c r="F16" s="10">
        <v>0.3</v>
      </c>
      <c r="G16" s="11">
        <v>3</v>
      </c>
      <c r="H16" s="12">
        <f t="shared" si="0"/>
        <v>2491.7519999999995</v>
      </c>
      <c r="I16" s="13">
        <v>0</v>
      </c>
      <c r="J16" s="13">
        <v>0</v>
      </c>
      <c r="K16" s="13">
        <v>0</v>
      </c>
      <c r="L16" s="13">
        <v>0</v>
      </c>
      <c r="M16" s="13">
        <v>1</v>
      </c>
      <c r="N16" s="14" t="s">
        <v>87</v>
      </c>
      <c r="O16" s="15" t="s">
        <v>88</v>
      </c>
    </row>
    <row r="17" spans="1:15" x14ac:dyDescent="0.2">
      <c r="A17" s="7" t="s">
        <v>85</v>
      </c>
      <c r="B17" s="8" t="s">
        <v>89</v>
      </c>
      <c r="C17" s="9">
        <v>5500</v>
      </c>
      <c r="D17" s="10">
        <v>0.5</v>
      </c>
      <c r="E17" s="10">
        <v>0.06</v>
      </c>
      <c r="F17" s="10">
        <v>0.3</v>
      </c>
      <c r="G17" s="11">
        <v>4</v>
      </c>
      <c r="H17" s="12">
        <f t="shared" si="0"/>
        <v>2147.0596399999999</v>
      </c>
      <c r="I17" s="13">
        <v>0</v>
      </c>
      <c r="J17" s="13">
        <v>0</v>
      </c>
      <c r="K17" s="13">
        <v>0</v>
      </c>
      <c r="L17" s="13">
        <v>0</v>
      </c>
      <c r="M17" s="13">
        <v>1</v>
      </c>
      <c r="N17" s="14" t="s">
        <v>90</v>
      </c>
      <c r="O17" s="15" t="s">
        <v>91</v>
      </c>
    </row>
    <row r="18" spans="1:15" x14ac:dyDescent="0.2">
      <c r="A18" s="7" t="s">
        <v>92</v>
      </c>
      <c r="B18" s="8" t="s">
        <v>93</v>
      </c>
      <c r="C18" s="9">
        <v>8000</v>
      </c>
      <c r="D18" s="10">
        <v>0.45</v>
      </c>
      <c r="E18" s="10">
        <v>7.0000000000000007E-2</v>
      </c>
      <c r="F18" s="10">
        <v>0.25</v>
      </c>
      <c r="G18" s="11">
        <v>5</v>
      </c>
      <c r="H18" s="12">
        <f t="shared" si="0"/>
        <v>2504.4781294799996</v>
      </c>
      <c r="I18" s="13">
        <v>0</v>
      </c>
      <c r="J18" s="13">
        <v>0</v>
      </c>
      <c r="K18" s="13">
        <v>0</v>
      </c>
      <c r="L18" s="13">
        <v>0</v>
      </c>
      <c r="M18" s="13">
        <v>1</v>
      </c>
      <c r="N18" s="14" t="s">
        <v>94</v>
      </c>
      <c r="O18" s="15" t="s">
        <v>95</v>
      </c>
    </row>
    <row r="19" spans="1:15" x14ac:dyDescent="0.2">
      <c r="A19" s="7" t="s">
        <v>92</v>
      </c>
      <c r="B19" s="8" t="s">
        <v>96</v>
      </c>
      <c r="C19" s="9">
        <v>13000</v>
      </c>
      <c r="D19" s="10">
        <v>0.45</v>
      </c>
      <c r="E19" s="10">
        <v>7.0000000000000007E-2</v>
      </c>
      <c r="F19" s="10">
        <v>0.25</v>
      </c>
      <c r="G19" s="11">
        <v>5</v>
      </c>
      <c r="H19" s="12">
        <f t="shared" si="0"/>
        <v>4069.776960404999</v>
      </c>
      <c r="I19" s="13">
        <v>0</v>
      </c>
      <c r="J19" s="13">
        <v>0</v>
      </c>
      <c r="K19" s="13">
        <v>0</v>
      </c>
      <c r="L19" s="13">
        <v>0</v>
      </c>
      <c r="M19" s="13">
        <v>1</v>
      </c>
      <c r="N19" s="14" t="s">
        <v>97</v>
      </c>
      <c r="O19" s="15" t="s">
        <v>98</v>
      </c>
    </row>
    <row r="20" spans="1:15" x14ac:dyDescent="0.2">
      <c r="A20" s="7" t="s">
        <v>75</v>
      </c>
      <c r="B20" s="8" t="s">
        <v>99</v>
      </c>
      <c r="C20" s="9">
        <v>16000</v>
      </c>
      <c r="D20" s="10">
        <v>0.45</v>
      </c>
      <c r="E20" s="10">
        <v>7.0000000000000007E-2</v>
      </c>
      <c r="F20" s="10">
        <v>0.25</v>
      </c>
      <c r="G20" s="11">
        <v>4</v>
      </c>
      <c r="H20" s="12">
        <f t="shared" si="0"/>
        <v>5385.9744719999981</v>
      </c>
      <c r="I20" s="13">
        <v>0</v>
      </c>
      <c r="J20" s="13">
        <v>0</v>
      </c>
      <c r="K20" s="13">
        <v>0</v>
      </c>
      <c r="L20" s="13">
        <v>0</v>
      </c>
      <c r="M20" s="13">
        <v>1</v>
      </c>
      <c r="N20" s="14" t="s">
        <v>100</v>
      </c>
      <c r="O20" s="15" t="s">
        <v>101</v>
      </c>
    </row>
    <row r="21" spans="1:15" x14ac:dyDescent="0.2">
      <c r="A21" s="7" t="s">
        <v>102</v>
      </c>
      <c r="B21" s="8" t="s">
        <v>103</v>
      </c>
      <c r="C21" s="9">
        <v>18000</v>
      </c>
      <c r="D21" s="10">
        <v>0.6</v>
      </c>
      <c r="E21" s="10">
        <v>0.05</v>
      </c>
      <c r="F21" s="10">
        <v>0.35</v>
      </c>
      <c r="G21" s="11">
        <v>4</v>
      </c>
      <c r="H21" s="12">
        <f t="shared" si="0"/>
        <v>8796.6674999999996</v>
      </c>
      <c r="I21" s="13">
        <v>0</v>
      </c>
      <c r="J21" s="13">
        <v>0</v>
      </c>
      <c r="K21" s="13">
        <v>0</v>
      </c>
      <c r="L21" s="13">
        <v>1</v>
      </c>
      <c r="M21" s="13">
        <v>0</v>
      </c>
      <c r="N21" s="14" t="s">
        <v>104</v>
      </c>
      <c r="O21" s="15" t="s">
        <v>105</v>
      </c>
    </row>
    <row r="22" spans="1:15" x14ac:dyDescent="0.2">
      <c r="A22" s="7" t="s">
        <v>102</v>
      </c>
      <c r="B22" s="8" t="s">
        <v>106</v>
      </c>
      <c r="C22" s="9">
        <v>30000</v>
      </c>
      <c r="D22" s="10">
        <v>0.6</v>
      </c>
      <c r="E22" s="10">
        <v>0.05</v>
      </c>
      <c r="F22" s="10">
        <v>0.35</v>
      </c>
      <c r="G22" s="11">
        <v>4</v>
      </c>
      <c r="H22" s="12">
        <f t="shared" si="0"/>
        <v>14661.112499999999</v>
      </c>
      <c r="I22" s="13">
        <v>0</v>
      </c>
      <c r="J22" s="13">
        <v>0</v>
      </c>
      <c r="K22" s="13">
        <v>0</v>
      </c>
      <c r="L22" s="13">
        <v>1</v>
      </c>
      <c r="M22" s="13">
        <v>0</v>
      </c>
      <c r="N22" s="14" t="s">
        <v>107</v>
      </c>
      <c r="O22" s="15" t="s">
        <v>108</v>
      </c>
    </row>
    <row r="23" spans="1:15" x14ac:dyDescent="0.2">
      <c r="A23" s="7" t="s">
        <v>102</v>
      </c>
      <c r="B23" s="8" t="s">
        <v>109</v>
      </c>
      <c r="C23" s="9">
        <v>20000</v>
      </c>
      <c r="D23" s="10">
        <v>0.57999999999999996</v>
      </c>
      <c r="E23" s="10">
        <v>0.05</v>
      </c>
      <c r="F23" s="10">
        <v>0.33</v>
      </c>
      <c r="G23" s="11">
        <v>4</v>
      </c>
      <c r="H23" s="12">
        <f t="shared" si="0"/>
        <v>9448.2724999999991</v>
      </c>
      <c r="I23" s="13">
        <v>0</v>
      </c>
      <c r="J23" s="13">
        <v>0</v>
      </c>
      <c r="K23" s="13">
        <v>0</v>
      </c>
      <c r="L23" s="13">
        <v>1</v>
      </c>
      <c r="M23" s="13">
        <v>0</v>
      </c>
      <c r="N23" s="14" t="s">
        <v>110</v>
      </c>
      <c r="O23" s="15" t="s">
        <v>111</v>
      </c>
    </row>
    <row r="24" spans="1:15" x14ac:dyDescent="0.2">
      <c r="A24" s="7" t="s">
        <v>102</v>
      </c>
      <c r="B24" s="8" t="s">
        <v>112</v>
      </c>
      <c r="C24" s="9">
        <v>15000</v>
      </c>
      <c r="D24" s="10">
        <v>0.5</v>
      </c>
      <c r="E24" s="10">
        <v>0.06</v>
      </c>
      <c r="F24" s="10">
        <v>0.28000000000000003</v>
      </c>
      <c r="G24" s="11">
        <v>7</v>
      </c>
      <c r="H24" s="12">
        <f t="shared" si="0"/>
        <v>4863.5819564447984</v>
      </c>
      <c r="I24" s="13">
        <v>0</v>
      </c>
      <c r="J24" s="13">
        <v>0</v>
      </c>
      <c r="K24" s="13">
        <v>0</v>
      </c>
      <c r="L24" s="13">
        <v>1</v>
      </c>
      <c r="M24" s="13">
        <v>0</v>
      </c>
      <c r="N24" s="14" t="s">
        <v>113</v>
      </c>
      <c r="O24" s="15" t="s">
        <v>114</v>
      </c>
    </row>
    <row r="25" spans="1:15" x14ac:dyDescent="0.2">
      <c r="A25" s="7" t="s">
        <v>115</v>
      </c>
      <c r="B25" s="8" t="s">
        <v>116</v>
      </c>
      <c r="C25" s="9">
        <v>10000</v>
      </c>
      <c r="D25" s="10">
        <v>0.45</v>
      </c>
      <c r="E25" s="10">
        <v>0.06</v>
      </c>
      <c r="F25" s="10">
        <v>0.25</v>
      </c>
      <c r="G25" s="11">
        <v>9</v>
      </c>
      <c r="H25" s="12">
        <f t="shared" si="0"/>
        <v>2578.4766100287743</v>
      </c>
      <c r="I25" s="13">
        <v>0</v>
      </c>
      <c r="J25" s="13">
        <v>0</v>
      </c>
      <c r="K25" s="13">
        <v>0</v>
      </c>
      <c r="L25" s="13">
        <v>1</v>
      </c>
      <c r="M25" s="13">
        <v>0</v>
      </c>
      <c r="N25" s="14" t="s">
        <v>117</v>
      </c>
      <c r="O25" s="15" t="s">
        <v>118</v>
      </c>
    </row>
    <row r="26" spans="1:15" x14ac:dyDescent="0.2">
      <c r="A26" s="7" t="s">
        <v>115</v>
      </c>
      <c r="B26" s="8" t="s">
        <v>119</v>
      </c>
      <c r="C26" s="9">
        <v>15000</v>
      </c>
      <c r="D26" s="10">
        <v>0.45</v>
      </c>
      <c r="E26" s="10">
        <v>0.06</v>
      </c>
      <c r="F26" s="10">
        <v>0.25</v>
      </c>
      <c r="G26" s="11">
        <v>12</v>
      </c>
      <c r="H26" s="12">
        <f t="shared" si="0"/>
        <v>3750</v>
      </c>
      <c r="I26" s="13">
        <v>0</v>
      </c>
      <c r="J26" s="13">
        <v>0</v>
      </c>
      <c r="K26" s="13">
        <v>0</v>
      </c>
      <c r="L26" s="13">
        <v>1</v>
      </c>
      <c r="M26" s="13">
        <v>0</v>
      </c>
      <c r="N26" s="14" t="s">
        <v>120</v>
      </c>
      <c r="O26" s="15" t="s">
        <v>121</v>
      </c>
    </row>
    <row r="27" spans="1:15" x14ac:dyDescent="0.2">
      <c r="A27" s="7" t="s">
        <v>115</v>
      </c>
      <c r="B27" s="8" t="s">
        <v>122</v>
      </c>
      <c r="C27" s="9">
        <v>14000</v>
      </c>
      <c r="D27" s="10">
        <v>0.45</v>
      </c>
      <c r="E27" s="10">
        <v>0.06</v>
      </c>
      <c r="F27" s="10">
        <v>0.25</v>
      </c>
      <c r="G27" s="11">
        <v>12</v>
      </c>
      <c r="H27" s="12">
        <f t="shared" si="0"/>
        <v>3500</v>
      </c>
      <c r="I27" s="13">
        <v>0</v>
      </c>
      <c r="J27" s="13">
        <v>0</v>
      </c>
      <c r="K27" s="13">
        <v>0</v>
      </c>
      <c r="L27" s="13">
        <v>1</v>
      </c>
      <c r="M27" s="13">
        <v>0</v>
      </c>
      <c r="N27" s="14" t="s">
        <v>123</v>
      </c>
      <c r="O27" s="15" t="s">
        <v>124</v>
      </c>
    </row>
    <row r="28" spans="1:15" x14ac:dyDescent="0.2">
      <c r="A28" s="7" t="s">
        <v>125</v>
      </c>
      <c r="B28" s="8" t="s">
        <v>126</v>
      </c>
      <c r="C28" s="9">
        <v>7000</v>
      </c>
      <c r="D28" s="10">
        <v>0.3</v>
      </c>
      <c r="E28" s="10">
        <v>0.05</v>
      </c>
      <c r="F28" s="10">
        <v>0.15</v>
      </c>
      <c r="G28" s="11">
        <v>25</v>
      </c>
      <c r="H28" s="12">
        <f t="shared" si="0"/>
        <v>1050</v>
      </c>
      <c r="I28" s="13">
        <v>0</v>
      </c>
      <c r="J28" s="13">
        <v>0</v>
      </c>
      <c r="K28" s="13">
        <v>0</v>
      </c>
      <c r="L28" s="13">
        <v>1</v>
      </c>
      <c r="M28" s="13">
        <v>0</v>
      </c>
      <c r="N28" s="14" t="s">
        <v>127</v>
      </c>
      <c r="O28" s="15" t="s">
        <v>128</v>
      </c>
    </row>
    <row r="29" spans="1:15" x14ac:dyDescent="0.2">
      <c r="A29" s="7" t="s">
        <v>125</v>
      </c>
      <c r="B29" s="8" t="s">
        <v>129</v>
      </c>
      <c r="C29" s="9">
        <v>6000</v>
      </c>
      <c r="D29" s="10">
        <v>0.3</v>
      </c>
      <c r="E29" s="10">
        <v>0.05</v>
      </c>
      <c r="F29" s="10">
        <v>0.15</v>
      </c>
      <c r="G29" s="11">
        <v>22</v>
      </c>
      <c r="H29" s="12">
        <f t="shared" si="0"/>
        <v>900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130</v>
      </c>
      <c r="O29" s="15" t="s">
        <v>131</v>
      </c>
    </row>
    <row r="30" spans="1:15" x14ac:dyDescent="0.2">
      <c r="A30" s="7" t="s">
        <v>125</v>
      </c>
      <c r="B30" s="8" t="s">
        <v>132</v>
      </c>
      <c r="C30" s="9">
        <v>5000</v>
      </c>
      <c r="D30" s="10">
        <v>0.28000000000000003</v>
      </c>
      <c r="E30" s="10">
        <v>0.05</v>
      </c>
      <c r="F30" s="10">
        <v>0.12</v>
      </c>
      <c r="G30" s="11">
        <v>30</v>
      </c>
      <c r="H30" s="12">
        <f t="shared" si="0"/>
        <v>600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133</v>
      </c>
      <c r="O30" s="15" t="s">
        <v>134</v>
      </c>
    </row>
    <row r="31" spans="1:15" x14ac:dyDescent="0.2">
      <c r="A31" s="7" t="s">
        <v>135</v>
      </c>
      <c r="B31" s="8" t="s">
        <v>136</v>
      </c>
      <c r="C31" s="9">
        <v>6500</v>
      </c>
      <c r="D31" s="10">
        <v>0.45</v>
      </c>
      <c r="E31" s="10">
        <v>7.0000000000000007E-2</v>
      </c>
      <c r="F31" s="10">
        <v>0.2</v>
      </c>
      <c r="G31" s="11">
        <v>4</v>
      </c>
      <c r="H31" s="12">
        <f t="shared" si="0"/>
        <v>2188.0521292499993</v>
      </c>
      <c r="I31" s="13">
        <v>0</v>
      </c>
      <c r="J31" s="13">
        <v>1</v>
      </c>
      <c r="K31" s="13">
        <v>1</v>
      </c>
      <c r="L31" s="13">
        <v>0</v>
      </c>
      <c r="M31" s="13">
        <v>0</v>
      </c>
      <c r="N31" s="14" t="s">
        <v>137</v>
      </c>
      <c r="O31" s="15" t="s">
        <v>138</v>
      </c>
    </row>
    <row r="32" spans="1:15" x14ac:dyDescent="0.2">
      <c r="A32" s="7" t="s">
        <v>135</v>
      </c>
      <c r="B32" s="8" t="s">
        <v>139</v>
      </c>
      <c r="C32" s="9">
        <v>5000</v>
      </c>
      <c r="D32" s="10">
        <v>0.42</v>
      </c>
      <c r="E32" s="10">
        <v>7.0000000000000007E-2</v>
      </c>
      <c r="F32" s="10">
        <v>0.18</v>
      </c>
      <c r="G32" s="11">
        <v>4</v>
      </c>
      <c r="H32" s="12">
        <f t="shared" si="0"/>
        <v>1570.9092209999994</v>
      </c>
      <c r="I32" s="13">
        <v>0</v>
      </c>
      <c r="J32" s="13">
        <v>1</v>
      </c>
      <c r="K32" s="13">
        <v>0</v>
      </c>
      <c r="L32" s="13">
        <v>0</v>
      </c>
      <c r="M32" s="13">
        <v>0</v>
      </c>
      <c r="N32" s="14" t="s">
        <v>140</v>
      </c>
      <c r="O32" s="15" t="s">
        <v>141</v>
      </c>
    </row>
    <row r="33" spans="1:15" x14ac:dyDescent="0.2">
      <c r="A33" s="7" t="s">
        <v>142</v>
      </c>
      <c r="B33" s="8" t="s">
        <v>143</v>
      </c>
      <c r="C33" s="9">
        <v>3500</v>
      </c>
      <c r="D33" s="10">
        <v>0.38</v>
      </c>
      <c r="E33" s="10">
        <v>0.08</v>
      </c>
      <c r="F33" s="10">
        <v>0.15</v>
      </c>
      <c r="G33" s="11">
        <v>4</v>
      </c>
      <c r="H33" s="12">
        <f t="shared" si="0"/>
        <v>952.80263680000007</v>
      </c>
      <c r="I33" s="13">
        <v>0</v>
      </c>
      <c r="J33" s="13">
        <v>1</v>
      </c>
      <c r="K33" s="13">
        <v>0</v>
      </c>
      <c r="L33" s="13">
        <v>0</v>
      </c>
      <c r="M33" s="13">
        <v>0</v>
      </c>
      <c r="N33" s="14" t="s">
        <v>144</v>
      </c>
      <c r="O33" s="15" t="s">
        <v>145</v>
      </c>
    </row>
    <row r="34" spans="1:15" x14ac:dyDescent="0.2">
      <c r="A34" s="7" t="s">
        <v>142</v>
      </c>
      <c r="B34" s="8" t="s">
        <v>146</v>
      </c>
      <c r="C34" s="9">
        <v>4500</v>
      </c>
      <c r="D34" s="10">
        <v>0.35</v>
      </c>
      <c r="E34" s="10">
        <v>0.08</v>
      </c>
      <c r="F34" s="10">
        <v>0.15</v>
      </c>
      <c r="G34" s="11">
        <v>8</v>
      </c>
      <c r="H34" s="12">
        <f t="shared" si="0"/>
        <v>808.3197251916597</v>
      </c>
      <c r="I34" s="13">
        <v>0</v>
      </c>
      <c r="J34" s="13">
        <v>1</v>
      </c>
      <c r="K34" s="13">
        <v>1</v>
      </c>
      <c r="L34" s="13">
        <v>0</v>
      </c>
      <c r="M34" s="13">
        <v>0</v>
      </c>
      <c r="N34" s="14" t="s">
        <v>147</v>
      </c>
      <c r="O34" s="15" t="s">
        <v>148</v>
      </c>
    </row>
    <row r="35" spans="1:15" ht="26" x14ac:dyDescent="0.2">
      <c r="A35" s="7" t="s">
        <v>149</v>
      </c>
      <c r="B35" s="8" t="s">
        <v>150</v>
      </c>
      <c r="C35" s="9">
        <v>-7000</v>
      </c>
      <c r="D35" s="10">
        <v>1</v>
      </c>
      <c r="E35" s="10">
        <v>0</v>
      </c>
      <c r="F35" s="10">
        <v>1</v>
      </c>
      <c r="G35" s="11">
        <v>0</v>
      </c>
      <c r="H35" s="12">
        <f t="shared" si="0"/>
        <v>-7000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151</v>
      </c>
      <c r="O35" s="15" t="s">
        <v>152</v>
      </c>
    </row>
    <row r="36" spans="1:15" x14ac:dyDescent="0.2">
      <c r="A36" s="7" t="s">
        <v>153</v>
      </c>
      <c r="B36" s="8" t="s">
        <v>154</v>
      </c>
      <c r="C36" s="9">
        <v>5500</v>
      </c>
      <c r="D36" s="10">
        <v>0.5</v>
      </c>
      <c r="E36" s="10">
        <v>0.06</v>
      </c>
      <c r="F36" s="10">
        <v>0.3</v>
      </c>
      <c r="G36" s="11">
        <v>4</v>
      </c>
      <c r="H36" s="12">
        <f t="shared" si="0"/>
        <v>2147.0596399999999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155</v>
      </c>
      <c r="O36" s="15" t="s">
        <v>156</v>
      </c>
    </row>
    <row r="37" spans="1:15" x14ac:dyDescent="0.2">
      <c r="A37" s="7" t="s">
        <v>153</v>
      </c>
      <c r="B37" s="8" t="s">
        <v>157</v>
      </c>
      <c r="C37" s="9">
        <v>5000</v>
      </c>
      <c r="D37" s="10">
        <v>0.5</v>
      </c>
      <c r="E37" s="10">
        <v>0.06</v>
      </c>
      <c r="F37" s="10">
        <v>0.3</v>
      </c>
      <c r="G37" s="11">
        <v>4</v>
      </c>
      <c r="H37" s="12">
        <f t="shared" si="0"/>
        <v>1951.8723999999997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158</v>
      </c>
      <c r="O37" s="15" t="s">
        <v>159</v>
      </c>
    </row>
    <row r="38" spans="1:15" x14ac:dyDescent="0.2">
      <c r="A38" s="7" t="s">
        <v>153</v>
      </c>
      <c r="B38" s="8" t="s">
        <v>160</v>
      </c>
      <c r="C38" s="9">
        <v>5000</v>
      </c>
      <c r="D38" s="10">
        <v>0.48</v>
      </c>
      <c r="E38" s="10">
        <v>0.06</v>
      </c>
      <c r="F38" s="10">
        <v>0.28000000000000003</v>
      </c>
      <c r="G38" s="11">
        <v>6</v>
      </c>
      <c r="H38" s="12">
        <f t="shared" si="0"/>
        <v>1655.6874745343996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161</v>
      </c>
      <c r="O38" s="15" t="s">
        <v>162</v>
      </c>
    </row>
    <row r="39" spans="1:15" x14ac:dyDescent="0.2">
      <c r="A39" s="7" t="s">
        <v>163</v>
      </c>
      <c r="B39" s="8" t="s">
        <v>164</v>
      </c>
      <c r="C39" s="9">
        <v>3500</v>
      </c>
      <c r="D39" s="10">
        <v>0.45</v>
      </c>
      <c r="E39" s="10">
        <v>7.0000000000000007E-2</v>
      </c>
      <c r="F39" s="10">
        <v>0.25</v>
      </c>
      <c r="G39" s="11">
        <v>5</v>
      </c>
      <c r="H39" s="12">
        <f t="shared" si="0"/>
        <v>1095.7091816474997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165</v>
      </c>
      <c r="O39" s="15" t="s">
        <v>166</v>
      </c>
    </row>
    <row r="40" spans="1:15" x14ac:dyDescent="0.2">
      <c r="A40" s="7" t="s">
        <v>167</v>
      </c>
      <c r="B40" s="8" t="s">
        <v>168</v>
      </c>
      <c r="C40" s="9">
        <v>3500</v>
      </c>
      <c r="D40" s="10">
        <v>0.4</v>
      </c>
      <c r="E40" s="10">
        <v>7.0000000000000007E-2</v>
      </c>
      <c r="F40" s="10">
        <v>0.2</v>
      </c>
      <c r="G40" s="11">
        <v>4</v>
      </c>
      <c r="H40" s="12">
        <f t="shared" si="0"/>
        <v>1047.2728139999997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169</v>
      </c>
      <c r="O40" s="15" t="s">
        <v>170</v>
      </c>
    </row>
    <row r="41" spans="1:15" x14ac:dyDescent="0.2">
      <c r="A41" s="7" t="s">
        <v>167</v>
      </c>
      <c r="B41" s="8" t="s">
        <v>171</v>
      </c>
      <c r="C41" s="9">
        <v>3500</v>
      </c>
      <c r="D41" s="10">
        <v>0.4</v>
      </c>
      <c r="E41" s="10">
        <v>7.0000000000000007E-2</v>
      </c>
      <c r="F41" s="10">
        <v>0.2</v>
      </c>
      <c r="G41" s="11">
        <v>5</v>
      </c>
      <c r="H41" s="12">
        <f t="shared" si="0"/>
        <v>973.96371701999965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172</v>
      </c>
      <c r="O41" s="15" t="s">
        <v>173</v>
      </c>
    </row>
    <row r="42" spans="1:15" x14ac:dyDescent="0.2">
      <c r="A42" s="7" t="s">
        <v>167</v>
      </c>
      <c r="B42" s="8" t="s">
        <v>174</v>
      </c>
      <c r="C42" s="9">
        <v>3500</v>
      </c>
      <c r="D42" s="10">
        <v>0.4</v>
      </c>
      <c r="E42" s="10">
        <v>7.0000000000000007E-2</v>
      </c>
      <c r="F42" s="10">
        <v>0.2</v>
      </c>
      <c r="G42" s="11">
        <v>4</v>
      </c>
      <c r="H42" s="12">
        <f t="shared" si="0"/>
        <v>1047.2728139999997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175</v>
      </c>
      <c r="O42" s="15" t="s">
        <v>176</v>
      </c>
    </row>
    <row r="43" spans="1:15" x14ac:dyDescent="0.2">
      <c r="A43" s="7" t="s">
        <v>167</v>
      </c>
      <c r="B43" s="8" t="s">
        <v>177</v>
      </c>
      <c r="C43" s="9">
        <v>2500</v>
      </c>
      <c r="D43" s="10">
        <v>0.35</v>
      </c>
      <c r="E43" s="10">
        <v>7.0000000000000007E-2</v>
      </c>
      <c r="F43" s="10">
        <v>0.18</v>
      </c>
      <c r="G43" s="11">
        <v>8</v>
      </c>
      <c r="H43" s="12">
        <f t="shared" si="0"/>
        <v>489.63408345690976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178</v>
      </c>
      <c r="O43" s="15" t="s">
        <v>179</v>
      </c>
    </row>
    <row r="44" spans="1:15" x14ac:dyDescent="0.2">
      <c r="A44" s="7" t="s">
        <v>180</v>
      </c>
      <c r="B44" s="8" t="s">
        <v>181</v>
      </c>
      <c r="C44" s="9">
        <v>1500</v>
      </c>
      <c r="D44" s="10">
        <v>0.25</v>
      </c>
      <c r="E44" s="10">
        <v>0.06</v>
      </c>
      <c r="F44" s="10">
        <v>0.1</v>
      </c>
      <c r="G44" s="11">
        <v>18</v>
      </c>
      <c r="H44" s="12">
        <f t="shared" si="0"/>
        <v>150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4" t="s">
        <v>182</v>
      </c>
      <c r="O44" s="15" t="s">
        <v>183</v>
      </c>
    </row>
    <row r="45" spans="1:15" x14ac:dyDescent="0.2">
      <c r="A45" s="7" t="s">
        <v>184</v>
      </c>
      <c r="B45" s="8" t="s">
        <v>185</v>
      </c>
      <c r="C45" s="9">
        <v>10000</v>
      </c>
      <c r="D45" s="10">
        <v>0.35</v>
      </c>
      <c r="E45" s="10">
        <v>0.08</v>
      </c>
      <c r="F45" s="10">
        <v>0.15</v>
      </c>
      <c r="G45" s="11">
        <v>8</v>
      </c>
      <c r="H45" s="12">
        <f t="shared" si="0"/>
        <v>1796.266055981466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186</v>
      </c>
      <c r="O45" s="15" t="s">
        <v>187</v>
      </c>
    </row>
  </sheetData>
  <autoFilter ref="A1:O4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2" width="7" customWidth="1"/>
    <col min="3" max="3" width="9" customWidth="1"/>
    <col min="4" max="4" width="17" customWidth="1"/>
    <col min="5" max="5" width="14" customWidth="1"/>
    <col min="6" max="6" width="12" customWidth="1"/>
    <col min="7" max="7" width="10" customWidth="1"/>
    <col min="8" max="8" width="18" customWidth="1"/>
  </cols>
  <sheetData>
    <row r="1" spans="1:8" ht="17" x14ac:dyDescent="0.2">
      <c r="A1" s="16" t="s">
        <v>188</v>
      </c>
    </row>
    <row r="2" spans="1:8" x14ac:dyDescent="0.2">
      <c r="A2" s="17" t="s">
        <v>189</v>
      </c>
    </row>
    <row r="4" spans="1:8" ht="27.75" customHeight="1" x14ac:dyDescent="0.2">
      <c r="A4" s="6" t="s">
        <v>190</v>
      </c>
      <c r="B4" s="6" t="s">
        <v>191</v>
      </c>
      <c r="C4" s="6" t="s">
        <v>192</v>
      </c>
      <c r="D4" s="6" t="s">
        <v>193</v>
      </c>
      <c r="E4" s="6" t="s">
        <v>26</v>
      </c>
      <c r="F4" s="6" t="s">
        <v>194</v>
      </c>
      <c r="G4" s="6" t="s">
        <v>28</v>
      </c>
      <c r="H4" s="6" t="s">
        <v>195</v>
      </c>
    </row>
    <row r="5" spans="1:8" x14ac:dyDescent="0.2">
      <c r="A5" s="18" t="s">
        <v>39</v>
      </c>
      <c r="B5" s="11">
        <v>1</v>
      </c>
      <c r="C5" s="11">
        <v>3</v>
      </c>
      <c r="D5" s="19">
        <f>VLOOKUP($A5,'Avionics Adjustments'!$B:$H,2,0)</f>
        <v>26000</v>
      </c>
      <c r="E5" s="20">
        <f>VLOOKUP($A5,'Avionics Adjustments'!$B:$H,3,0)</f>
        <v>0.6</v>
      </c>
      <c r="F5" s="20">
        <f>VLOOKUP($A5,'Avionics Adjustments'!$B:$H,4,0)</f>
        <v>0.05</v>
      </c>
      <c r="G5" s="20">
        <f>VLOOKUP($A5,'Avionics Adjustments'!$B:$H,5,0)</f>
        <v>0.35</v>
      </c>
      <c r="H5" s="12">
        <f t="shared" ref="H5:H10" si="0">B5*D5*MAX(G5,E5*(1-F5)^C5)</f>
        <v>13375.049999999997</v>
      </c>
    </row>
    <row r="6" spans="1:8" x14ac:dyDescent="0.2">
      <c r="A6" s="18" t="s">
        <v>86</v>
      </c>
      <c r="B6" s="11">
        <v>2</v>
      </c>
      <c r="C6" s="11">
        <v>3</v>
      </c>
      <c r="D6" s="19">
        <f>VLOOKUP($A6,'Avionics Adjustments'!$B:$H,2,0)</f>
        <v>6000</v>
      </c>
      <c r="E6" s="20">
        <f>VLOOKUP($A6,'Avionics Adjustments'!$B:$H,3,0)</f>
        <v>0.5</v>
      </c>
      <c r="F6" s="20">
        <f>VLOOKUP($A6,'Avionics Adjustments'!$B:$H,4,0)</f>
        <v>0.06</v>
      </c>
      <c r="G6" s="20">
        <f>VLOOKUP($A6,'Avionics Adjustments'!$B:$H,5,0)</f>
        <v>0.3</v>
      </c>
      <c r="H6" s="12">
        <f t="shared" si="0"/>
        <v>4983.503999999999</v>
      </c>
    </row>
    <row r="7" spans="1:8" x14ac:dyDescent="0.2">
      <c r="A7" s="18" t="s">
        <v>103</v>
      </c>
      <c r="B7" s="11">
        <v>1</v>
      </c>
      <c r="C7" s="11">
        <v>4</v>
      </c>
      <c r="D7" s="19">
        <f>VLOOKUP($A7,'Avionics Adjustments'!$B:$H,2,0)</f>
        <v>18000</v>
      </c>
      <c r="E7" s="20">
        <f>VLOOKUP($A7,'Avionics Adjustments'!$B:$H,3,0)</f>
        <v>0.6</v>
      </c>
      <c r="F7" s="20">
        <f>VLOOKUP($A7,'Avionics Adjustments'!$B:$H,4,0)</f>
        <v>0.05</v>
      </c>
      <c r="G7" s="20">
        <f>VLOOKUP($A7,'Avionics Adjustments'!$B:$H,5,0)</f>
        <v>0.35</v>
      </c>
      <c r="H7" s="12">
        <f t="shared" si="0"/>
        <v>8796.6674999999996</v>
      </c>
    </row>
    <row r="8" spans="1:8" x14ac:dyDescent="0.2">
      <c r="A8" s="18" t="s">
        <v>136</v>
      </c>
      <c r="B8" s="11">
        <v>1</v>
      </c>
      <c r="C8" s="11">
        <v>4</v>
      </c>
      <c r="D8" s="19">
        <f>VLOOKUP($A8,'Avionics Adjustments'!$B:$H,2,0)</f>
        <v>6500</v>
      </c>
      <c r="E8" s="20">
        <f>VLOOKUP($A8,'Avionics Adjustments'!$B:$H,3,0)</f>
        <v>0.45</v>
      </c>
      <c r="F8" s="20">
        <f>VLOOKUP($A8,'Avionics Adjustments'!$B:$H,4,0)</f>
        <v>7.0000000000000007E-2</v>
      </c>
      <c r="G8" s="20">
        <f>VLOOKUP($A8,'Avionics Adjustments'!$B:$H,5,0)</f>
        <v>0.2</v>
      </c>
      <c r="H8" s="12">
        <f t="shared" si="0"/>
        <v>2188.0521292499993</v>
      </c>
    </row>
    <row r="9" spans="1:8" x14ac:dyDescent="0.2">
      <c r="A9" s="18" t="s">
        <v>154</v>
      </c>
      <c r="B9" s="11">
        <v>1</v>
      </c>
      <c r="C9" s="11">
        <v>4</v>
      </c>
      <c r="D9" s="19">
        <f>VLOOKUP($A9,'Avionics Adjustments'!$B:$H,2,0)</f>
        <v>5500</v>
      </c>
      <c r="E9" s="20">
        <f>VLOOKUP($A9,'Avionics Adjustments'!$B:$H,3,0)</f>
        <v>0.5</v>
      </c>
      <c r="F9" s="20">
        <f>VLOOKUP($A9,'Avionics Adjustments'!$B:$H,4,0)</f>
        <v>0.06</v>
      </c>
      <c r="G9" s="20">
        <f>VLOOKUP($A9,'Avionics Adjustments'!$B:$H,5,0)</f>
        <v>0.3</v>
      </c>
      <c r="H9" s="12">
        <f t="shared" si="0"/>
        <v>2147.0596399999999</v>
      </c>
    </row>
    <row r="10" spans="1:8" x14ac:dyDescent="0.2">
      <c r="A10" s="18" t="s">
        <v>168</v>
      </c>
      <c r="B10" s="11">
        <v>1</v>
      </c>
      <c r="C10" s="11">
        <v>4</v>
      </c>
      <c r="D10" s="19">
        <f>VLOOKUP($A10,'Avionics Adjustments'!$B:$H,2,0)</f>
        <v>3500</v>
      </c>
      <c r="E10" s="20">
        <f>VLOOKUP($A10,'Avionics Adjustments'!$B:$H,3,0)</f>
        <v>0.4</v>
      </c>
      <c r="F10" s="20">
        <f>VLOOKUP($A10,'Avionics Adjustments'!$B:$H,4,0)</f>
        <v>7.0000000000000007E-2</v>
      </c>
      <c r="G10" s="20">
        <f>VLOOKUP($A10,'Avionics Adjustments'!$B:$H,5,0)</f>
        <v>0.2</v>
      </c>
      <c r="H10" s="12">
        <f t="shared" si="0"/>
        <v>1047.2728139999997</v>
      </c>
    </row>
    <row r="12" spans="1:8" x14ac:dyDescent="0.2">
      <c r="A12" s="21" t="s">
        <v>196</v>
      </c>
      <c r="H12" s="22">
        <f>SUM(H5:H10)</f>
        <v>32537.606083249993</v>
      </c>
    </row>
    <row r="13" spans="1:8" x14ac:dyDescent="0.2">
      <c r="A13" s="23" t="s">
        <v>197</v>
      </c>
      <c r="H13" s="24">
        <v>2500</v>
      </c>
    </row>
    <row r="14" spans="1:8" x14ac:dyDescent="0.2">
      <c r="A14" s="25" t="s">
        <v>198</v>
      </c>
      <c r="H14" s="26">
        <f>H12+H13</f>
        <v>35037.606083249993</v>
      </c>
    </row>
    <row r="15" spans="1:8" x14ac:dyDescent="0.2">
      <c r="A15" s="23" t="s">
        <v>199</v>
      </c>
      <c r="H15" s="24">
        <v>260000</v>
      </c>
    </row>
    <row r="16" spans="1:8" x14ac:dyDescent="0.2">
      <c r="A16" s="23" t="s">
        <v>200</v>
      </c>
      <c r="H16" s="27">
        <v>0.4</v>
      </c>
    </row>
    <row r="17" spans="1:8" x14ac:dyDescent="0.2">
      <c r="A17" s="21" t="s">
        <v>201</v>
      </c>
      <c r="H17" s="22">
        <f>H15*H16</f>
        <v>104000</v>
      </c>
    </row>
    <row r="18" spans="1:8" x14ac:dyDescent="0.2">
      <c r="A18" s="25" t="s">
        <v>202</v>
      </c>
      <c r="H18" s="26">
        <f>MIN(H14,H17)</f>
        <v>35037.606083249993</v>
      </c>
    </row>
    <row r="20" spans="1:8" ht="16" x14ac:dyDescent="0.2">
      <c r="A20" s="28" t="s">
        <v>203</v>
      </c>
      <c r="H20" s="29">
        <f>H15+H18</f>
        <v>295037.60608325002</v>
      </c>
    </row>
    <row r="22" spans="1:8" x14ac:dyDescent="0.2">
      <c r="A22" s="17" t="s">
        <v>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Avionics Adjustments</vt:lpstr>
      <vt:lpstr>Worked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Wallace</cp:lastModifiedBy>
  <cp:revision>0</cp:revision>
  <dcterms:created xsi:type="dcterms:W3CDTF">2026-06-04T21:30:35Z</dcterms:created>
  <dcterms:modified xsi:type="dcterms:W3CDTF">2026-06-07T19:44:59Z</dcterms:modified>
  <dc:language>en-US</dc:language>
</cp:coreProperties>
</file>